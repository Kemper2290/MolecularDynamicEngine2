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3b60bf0d1c717/CppProjects/MolecularDynamicEngine2/MolecularDynamicEngine/"/>
    </mc:Choice>
  </mc:AlternateContent>
  <xr:revisionPtr revIDLastSave="560" documentId="8_{D4CE19AE-088B-456C-B6DD-C76DC4329C00}" xr6:coauthVersionLast="47" xr6:coauthVersionMax="47" xr10:uidLastSave="{EA901A59-9039-430A-9DCC-930C3927CC07}"/>
  <bookViews>
    <workbookView xWindow="-120" yWindow="-120" windowWidth="38640" windowHeight="21120" activeTab="3" xr2:uid="{630921D2-86D0-49AB-9C5F-65E42A141321}"/>
  </bookViews>
  <sheets>
    <sheet name="mod-1mh1.pdb" sheetId="1" r:id="rId1"/>
    <sheet name="avo_methane.pdb" sheetId="3" r:id="rId2"/>
    <sheet name="tri_argon.pdb" sheetId="5" r:id="rId3"/>
    <sheet name="di_argon.pdb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  <c r="O33" i="5"/>
  <c r="O32" i="5"/>
  <c r="O31" i="5"/>
  <c r="L33" i="5"/>
  <c r="M33" i="5"/>
  <c r="K33" i="5"/>
  <c r="L32" i="5"/>
  <c r="M32" i="5"/>
  <c r="K32" i="5"/>
  <c r="L31" i="5"/>
  <c r="M31" i="5"/>
  <c r="K31" i="5"/>
  <c r="K33" i="6"/>
  <c r="K32" i="6"/>
  <c r="K31" i="6"/>
  <c r="H35" i="6"/>
  <c r="H36" i="6" s="1"/>
  <c r="D35" i="6"/>
  <c r="C35" i="6"/>
  <c r="G35" i="6"/>
  <c r="D18" i="6"/>
  <c r="D28" i="6"/>
  <c r="E28" i="6"/>
  <c r="E27" i="6"/>
  <c r="D27" i="6"/>
  <c r="E19" i="6"/>
  <c r="D19" i="6"/>
  <c r="E18" i="6"/>
  <c r="E17" i="6"/>
  <c r="D17" i="6"/>
  <c r="E16" i="6"/>
  <c r="D16" i="6"/>
  <c r="E15" i="6"/>
  <c r="D15" i="6"/>
  <c r="E14" i="6"/>
  <c r="D14" i="6"/>
  <c r="E9" i="6"/>
  <c r="B9" i="6"/>
  <c r="F22" i="5"/>
  <c r="E22" i="5"/>
  <c r="D22" i="5"/>
  <c r="F21" i="5"/>
  <c r="E21" i="5"/>
  <c r="D21" i="5"/>
  <c r="F20" i="5"/>
  <c r="E20" i="5"/>
  <c r="D20" i="5"/>
  <c r="E19" i="5"/>
  <c r="D19" i="5"/>
  <c r="F19" i="5"/>
  <c r="D18" i="5"/>
  <c r="E18" i="5"/>
  <c r="F18" i="5"/>
  <c r="F17" i="5"/>
  <c r="E17" i="5"/>
  <c r="D17" i="5"/>
  <c r="F16" i="5"/>
  <c r="E16" i="5"/>
  <c r="D16" i="5"/>
  <c r="F15" i="5"/>
  <c r="D15" i="5"/>
  <c r="D14" i="5"/>
  <c r="E15" i="5"/>
  <c r="F14" i="5"/>
  <c r="E14" i="5"/>
  <c r="H9" i="5"/>
  <c r="E9" i="5"/>
  <c r="B9" i="5"/>
  <c r="H38" i="6" l="1"/>
  <c r="H37" i="6"/>
  <c r="H39" i="6" s="1"/>
</calcChain>
</file>

<file path=xl/sharedStrings.xml><?xml version="1.0" encoding="utf-8"?>
<sst xmlns="http://schemas.openxmlformats.org/spreadsheetml/2006/main" count="212" uniqueCount="70">
  <si>
    <t>i=3</t>
  </si>
  <si>
    <t>i=4</t>
  </si>
  <si>
    <t>i=1</t>
  </si>
  <si>
    <t>i=2</t>
  </si>
  <si>
    <t>j=1</t>
  </si>
  <si>
    <t>j=0</t>
  </si>
  <si>
    <t>j=2</t>
  </si>
  <si>
    <t>i=0</t>
  </si>
  <si>
    <t>j=3</t>
  </si>
  <si>
    <t>j=4</t>
  </si>
  <si>
    <t>i</t>
  </si>
  <si>
    <t>N</t>
  </si>
  <si>
    <t>CA</t>
  </si>
  <si>
    <t>C</t>
  </si>
  <si>
    <t>O</t>
  </si>
  <si>
    <t>H</t>
  </si>
  <si>
    <t>pdb coordinates</t>
  </si>
  <si>
    <t>pdbmatrix coordinates</t>
  </si>
  <si>
    <t>AR</t>
  </si>
  <si>
    <t>dist matrix</t>
  </si>
  <si>
    <t>x,y,z</t>
  </si>
  <si>
    <t>result abs</t>
  </si>
  <si>
    <t>x</t>
  </si>
  <si>
    <t>y</t>
  </si>
  <si>
    <t xml:space="preserve">z </t>
  </si>
  <si>
    <t>z</t>
  </si>
  <si>
    <t>i=5</t>
  </si>
  <si>
    <t>i=6</t>
  </si>
  <si>
    <t>i=7</t>
  </si>
  <si>
    <t>i=8</t>
  </si>
  <si>
    <t>AR1</t>
  </si>
  <si>
    <t>AR2</t>
  </si>
  <si>
    <t>AR3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</si>
  <si>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</si>
  <si>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</si>
  <si>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</si>
  <si>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</si>
  <si>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</si>
  <si>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</si>
  <si>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</si>
  <si>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</si>
  <si>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</si>
  <si>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sum_lj_energy: 3.9901e+17</t>
  </si>
  <si>
    <t>sigma</t>
  </si>
  <si>
    <t>epsilon</t>
  </si>
  <si>
    <t>potential</t>
  </si>
  <si>
    <t>chemlibre r</t>
  </si>
  <si>
    <t>chem libre</t>
  </si>
  <si>
    <t>chem libre force calculation</t>
  </si>
  <si>
    <t>mine</t>
  </si>
  <si>
    <t>FORCES</t>
  </si>
  <si>
    <t>Net Force</t>
  </si>
  <si>
    <t>Fx</t>
  </si>
  <si>
    <t>Fy</t>
  </si>
  <si>
    <t>Fz</t>
  </si>
  <si>
    <t>U</t>
  </si>
  <si>
    <t>ENERGY</t>
  </si>
  <si>
    <t>index</t>
  </si>
  <si>
    <t>48ep/sigma</t>
  </si>
  <si>
    <t>sig13</t>
  </si>
  <si>
    <t>sig7</t>
  </si>
  <si>
    <t>sig13:</t>
  </si>
  <si>
    <t>sig7:</t>
  </si>
  <si>
    <t>0.437979Total</t>
  </si>
  <si>
    <t>force:</t>
  </si>
  <si>
    <t>dist</t>
  </si>
  <si>
    <t>force vectors</t>
  </si>
  <si>
    <t>atom 1</t>
  </si>
  <si>
    <t>atom 2</t>
  </si>
  <si>
    <t>atom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</si>
</sst>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8">
    <xf numFmtId="0" fontId="0" fillId="0" borderId="0" xfId="0"/>
    <xf numFmtId="0" fontId="2" fillId="2" borderId="1" xfId="1"/>
    <xf numFmtId="0" fontId="1" fillId="2" borderId="1" xfId="1" applyFont="1"/>
    <xf numFmtId="0" fontId="3" fillId="2" borderId="1" xfId="1" applyFont="1"/>
    <xf numFmtId="0" fontId="3" fillId="3" borderId="1" xfId="1" applyFont="1" applyFill="1"/>
    <xf numFmtId="0" fontId="3" fillId="4" borderId="1" xfId="1" applyFont="1" applyFill="1"/>
    <xf numFmtId="0" fontId="3" fillId="5" borderId="1" xfId="1" applyFont="1" applyFill="1"/>
    <xf numFmtId="0" fontId="3" fillId="6" borderId="1" xfId="1" applyFont="1" applyFill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696600</xdr:colOff>
      <xdr:row>11</xdr:row>
      <xdr:rowOff>16148</xdr:rowOff>
    </xdr:from>
    <xdr:to>
      <xdr:col>4</xdr:col>
      <xdr:colOff>370226</xdr:colOff>
      <xdr:row>18</xdr:row>
      <xdr:rowOff>15968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57561DC-A0DA-BD0A-397C-9FCC6208E10C}"/>
                </a:ext>
              </a:extLst>
            </xdr14:cNvPr>
            <xdr14:cNvContentPartPr/>
          </xdr14:nvContentPartPr>
          <xdr14:nvPr macro=""/>
          <xdr14:xfrm>
            <a:off x="696600" y="2351134"/>
            <a:ext cx="2215440" cy="1485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57561DC-A0DA-BD0A-397C-9FCC6208E1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0480" y="2345014"/>
              <a:ext cx="2227680" cy="149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203186</xdr:colOff>
      <xdr:row>23</xdr:row>
      <xdr:rowOff>103011</xdr:rowOff>
    </xdr:from>
    <xdr:to>
      <xdr:col>13</xdr:col>
      <xdr:colOff>321034</xdr:colOff>
      <xdr:row>26</xdr:row>
      <xdr:rowOff>60197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1D7DB57-856B-DC8E-CF4E-FE1059C9BF81}"/>
                </a:ext>
              </a:extLst>
            </xdr14:cNvPr>
            <xdr14:cNvContentPartPr/>
          </xdr14:nvContentPartPr>
          <xdr14:nvPr macro=""/>
          <xdr14:xfrm>
            <a:off x="916200" y="4985254"/>
            <a:ext cx="7645320" cy="5940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1D7DB57-856B-DC8E-CF4E-FE1059C9BF8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10080" y="4979134"/>
              <a:ext cx="7657560" cy="606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22:55:08.8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24575,'160'138'0,"-49"-44"0,289 279-588,-198-182 410,59 58-2862,51 43 1107,-93-92 1468,287 221-2718,-7-73 2856,-337-241 211,523 291-112,-562-332 311,208 99 553,-134-70-468,226 90-1115,-122-57 604,-273-115 878,261 124 1385,-149-59-55,-6 10 3465,-71-42-4924,92 89-1,-131-112-525,-6-7-87,-1 1-1,0 1 1,-2 0-1,0 1 0,21 38 1,-31-46-6619</inkml:trace>
  <inkml:trace contextRef="#ctx0" brushRef="#br0" timeOffset="579.41">6153 288 24575,'-12'0'0,"-1"2"0,1 0 0,0 0 0,0 1 0,0 1 0,0 0 0,0 0 0,1 1 0,-1 1 0,1 0 0,1 0 0,-14 11 0,-1-1 0,-233 151-582,-121 97-7433,-678 481 7776,761-521-4376,59-43 6079,27-33 467,-99 76 753,91-58-3133,-132 110-1186,-49 59 1824,359-300-247,-312 282 2,301-268-1437,-107 104 10977,92-85-8094,14-17-2755,44-45-5461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22:55:11.9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1734 137 24575,'0'6'0,"2"-1"0,-1 1 0,0-1 0,1 0 0,0 1 0,0-1 0,1 0 0,-1 0 0,1 0 0,0 0 0,1-1 0,6 8 0,52 51 0,-59-60 0,12 13 0,-1 1 0,-1 0 0,-1 1 0,0 0 0,-2 1 0,16 35 0,-13-25 0,1-2 0,23 33 0,-15-29 0,2-1 0,0-1 0,2-1 0,59 49 0,-13-27 0,-45-33 0,-1 1 0,-1 1 0,-1 2 0,-1 0 0,32 37 0,-43-42 0,12 20 0,2-1 0,2-1 0,1-2 0,2 0 0,39 31 0,34 11-1365,-96-67-5461</inkml:trace>
  <inkml:trace contextRef="#ctx0" brushRef="#br0" timeOffset="834.15">3729 16 24575,'-4'2'0,"0"0"0,0 0 0,1 1 0,-1-1 0,1 1 0,-1 0 0,1-1 0,0 1 0,0 1 0,0-1 0,-2 4 0,-6 5 0,-72 69 0,-152 135 0,-105 30 0,-66-11-3255,-23-44 6510,287-146-3255,-3-6 0,-200 28 0,293-58 0,-80 10 0,9 0 0,53-5 0,-233 40 0,285-51 0,-67 10 0,-144 4 0,140-16 0,-78-3 0,161 1 0,-1 0 0,1-1 0,0 0 0,0-1 0,1 1 0,-1-1 0,1 0 0,-1-1 0,1 1 0,-9-9 0,-51-50 0,46 43 0,11 11 22,-1 1 1,0 0-1,-1 1 0,0 0 0,-11-5 1,-30-21-1522,44 26-5327</inkml:trace>
  <inkml:trace contextRef="#ctx0" brushRef="#br0" timeOffset="2117.94">9202 228 24575,'1'2'0,"-1"0"0,1 0 0,0 0 0,-1 0 0,1 0 0,0 0 0,0 0 0,0 0 0,1 0 0,-1 0 0,0-1 0,1 1 0,-1 0 0,1-1 0,0 1 0,-1-1 0,1 0 0,0 0 0,0 1 0,3 0 0,50 24 0,-34-17 0,19 8 0,71 20 0,19 7 0,-82-27-1913,0-3-1,1-1 0,86 10 1,-11-2 1990,131 21-376,-17-12-276,-80-13 269,331 16 4457,135-4-6297,-426-17 1775,429 6-1082,-242 6 1717,-81-2 1946,49 2-1592,-78-3-625,-32 1 947,16 2 96,-30-9-756,-161-9 1705,62 2-2100,-117-8-6711</inkml:trace>
  <inkml:trace contextRef="#ctx0" brushRef="#br0" timeOffset="2886.67">14131 1 24575,'-21'34'0,"-2"0"0,-2-2 0,-1 0 0,-59 54 0,12-16 0,-88 64 0,117-103 0,-1-1 0,-2-2 0,-85 37 0,-21 0 52,-226 82-935,352-138 872,-398 111-1037,334-98 1206,-242 54-2313,102-30 2126,-109 21 29,-309 38-19,160-52 1042,344-40 92,-117 4 682,-490-18-1797,603-14 0,-3 13 0,-152 5 0,197 12-1365,94-15-5461</inkml:trace>
  <inkml:trace contextRef="#ctx0" brushRef="#br0" timeOffset="3685.61">3457 621 24575,'23'1'0,"0"2"0,-1 0 0,1 1 0,22 8 0,47 8 0,130 20 0,209 43-1679,-209-29-4592,284 108 6378,-38 22 7736,-113-70-7843,-330-107 0,6 2 0,1-3 0,34 4 0,25 4-1365,-79-14-5461</inkml:trace>
  <inkml:trace contextRef="#ctx0" brushRef="#br0" timeOffset="4092.19">5801 485 24575,'-2'3'0,"0"-1"0,-1 1 0,1-1 0,0 0 0,-1 1 0,1-1 0,-1 0 0,0 0 0,0-1 0,0 1 0,0-1 0,0 1 0,0-1 0,0 0 0,-6 1 0,0 2 0,-227 106 0,-187 78 0,181-86 0,21-8 0,-138 39 0,7-18 0,325-108-455,0-1 0,-55 5 0,69-10-6371</inkml:trace>
  <inkml:trace contextRef="#ctx0" brushRef="#br0" timeOffset="5293.91">17125 682 24575,'1341'0'-1360,"-1202"3"125,0 6 0,231 45 1,-165-2 2228,219 86 0,-96-10-994,-275-107 159,256 91 2492,-168-77-2385,-78-19-266,1-3 0,0-2 0,0-4 0,1-2 0,97-5 0,-141-3 108,-1-1-1,36-12 0,16-3-1794,-61 17-5139</inkml:trace>
  <inkml:trace contextRef="#ctx0" brushRef="#br0" timeOffset="5948.21">21071 213 24575,'-3'6'0,"0"0"0,0-1 0,0 1 0,-1-1 0,1 0 0,-1 0 0,-1 0 0,1-1 0,-1 1 0,-5 3 0,-53 51 0,22-20 0,-68 51 0,-63 27-3836,-202 104-1,230-146 4656,-210 102 382,-10-17-2530,36-39 8064,99-58-6538,97-29-147,-96 18-50,112-32 0,-73 9 0,-15 0 0,114-14 0,67-10 0,0-1 0,-45 2 0,-100 9 0,142-13 0,0 0 0,-41 9 0,41-5 0,0-2 0,-42 2 0,-68 9 0,106-16-1365,17 1-5461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458D-3A51-407E-9E92-3FD97DA85586}">
  <dimension ref="C4:L14"/>
  <sheetViews>
    <sheetView topLeftCell="A5" zoomScale="175" zoomScaleNormal="175" workbookViewId="0">
      <selection activeCell="H10" sqref="H10:L10"/>
    </sheetView>
  </sheetViews>
  <sheetFormatPr defaultRowHeight="16.5" thickTop="1" thickBottom="1" x14ac:dyDescent="0.3"/>
  <cols>
    <col min="1" max="16384" width="9.140625" style="1"/>
  </cols>
  <sheetData>
    <row r="4" spans="3:12" thickTop="1" thickBot="1" x14ac:dyDescent="0.3">
      <c r="C4" s="2"/>
    </row>
    <row r="8" spans="3:12" thickTop="1" thickBot="1" x14ac:dyDescent="0.3">
      <c r="H8" s="3" t="s">
        <v>11</v>
      </c>
      <c r="I8" s="3" t="s">
        <v>12</v>
      </c>
      <c r="J8" s="3" t="s">
        <v>13</v>
      </c>
      <c r="K8" s="3" t="s">
        <v>14</v>
      </c>
      <c r="L8" s="3" t="s">
        <v>11</v>
      </c>
    </row>
    <row r="9" spans="3:12" thickTop="1" thickBot="1" x14ac:dyDescent="0.3">
      <c r="E9" s="3" t="s">
        <v>10</v>
      </c>
      <c r="F9" s="3"/>
      <c r="G9" s="3"/>
      <c r="H9" s="3" t="s">
        <v>5</v>
      </c>
      <c r="I9" s="3" t="s">
        <v>4</v>
      </c>
      <c r="J9" s="3" t="s">
        <v>6</v>
      </c>
      <c r="K9" s="3" t="s">
        <v>8</v>
      </c>
      <c r="L9" s="3" t="s">
        <v>9</v>
      </c>
    </row>
    <row r="10" spans="3:12" thickTop="1" thickBot="1" x14ac:dyDescent="0.3">
      <c r="E10" s="3">
        <v>0</v>
      </c>
      <c r="F10" s="3" t="s">
        <v>11</v>
      </c>
      <c r="G10" s="3" t="s">
        <v>7</v>
      </c>
      <c r="H10" s="3">
        <v>0</v>
      </c>
      <c r="I10" s="3">
        <v>1.4903599999999999</v>
      </c>
      <c r="J10" s="3">
        <v>2.4126500000000002</v>
      </c>
      <c r="K10" s="3">
        <v>2.5979999999999999</v>
      </c>
      <c r="L10" s="3">
        <v>3.6118000000000001</v>
      </c>
    </row>
    <row r="11" spans="3:12" thickTop="1" thickBot="1" x14ac:dyDescent="0.3">
      <c r="E11" s="3">
        <v>1</v>
      </c>
      <c r="F11" s="3" t="s">
        <v>12</v>
      </c>
      <c r="G11" s="3" t="s">
        <v>2</v>
      </c>
      <c r="H11" s="3">
        <v>1.4903599999999999</v>
      </c>
      <c r="I11" s="3">
        <v>0</v>
      </c>
      <c r="J11" s="3">
        <v>1.5275799999999999</v>
      </c>
      <c r="K11" s="3">
        <v>2.37365</v>
      </c>
      <c r="L11" s="3">
        <v>2.4443899999999998</v>
      </c>
    </row>
    <row r="12" spans="3:12" thickTop="1" thickBot="1" x14ac:dyDescent="0.3">
      <c r="E12" s="3">
        <v>2</v>
      </c>
      <c r="F12" s="3" t="s">
        <v>13</v>
      </c>
      <c r="G12" s="3" t="s">
        <v>3</v>
      </c>
      <c r="H12" s="3">
        <v>2.4126500000000002</v>
      </c>
      <c r="I12" s="3">
        <v>1.5275799999999999</v>
      </c>
      <c r="J12" s="3">
        <v>0</v>
      </c>
      <c r="K12" s="3">
        <v>1.23526</v>
      </c>
      <c r="L12" s="3">
        <v>1.3212600000000001</v>
      </c>
    </row>
    <row r="13" spans="3:12" thickTop="1" thickBot="1" x14ac:dyDescent="0.3">
      <c r="E13" s="3">
        <v>3</v>
      </c>
      <c r="F13" s="3" t="s">
        <v>14</v>
      </c>
      <c r="G13" s="3" t="s">
        <v>0</v>
      </c>
      <c r="H13" s="3">
        <v>2.5979999999999999</v>
      </c>
      <c r="I13" s="3">
        <v>2.37365</v>
      </c>
      <c r="J13" s="3">
        <v>1.23526</v>
      </c>
      <c r="K13" s="3">
        <v>0</v>
      </c>
      <c r="L13" s="3">
        <v>2.25692</v>
      </c>
    </row>
    <row r="14" spans="3:12" thickTop="1" thickBot="1" x14ac:dyDescent="0.3">
      <c r="E14" s="3">
        <v>4</v>
      </c>
      <c r="F14" s="3" t="s">
        <v>11</v>
      </c>
      <c r="G14" s="3" t="s">
        <v>1</v>
      </c>
      <c r="H14" s="3">
        <v>3.6118000000000001</v>
      </c>
      <c r="I14" s="3">
        <v>2.4443899999999998</v>
      </c>
      <c r="J14" s="3">
        <v>1.3212600000000001</v>
      </c>
      <c r="K14" s="3">
        <v>2.25692</v>
      </c>
      <c r="L14" s="3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531A-04C3-42CE-AF9D-85EEFA0A7276}">
  <dimension ref="A1:L14"/>
  <sheetViews>
    <sheetView zoomScale="175" zoomScaleNormal="175" workbookViewId="0"/>
  </sheetViews>
  <sheetFormatPr defaultRowHeight="16.5" thickTop="1" thickBottom="1" x14ac:dyDescent="0.3"/>
  <cols>
    <col min="1" max="16384" width="9.140625" style="1"/>
  </cols>
  <sheetData>
    <row r="1" spans="1:12" thickTop="1" thickBot="1" x14ac:dyDescent="0.3">
      <c r="A1" s="1" t="s">
        <v>16</v>
      </c>
    </row>
    <row r="2" spans="1:12" thickTop="1" thickBot="1" x14ac:dyDescent="0.3">
      <c r="A2" s="1">
        <v>-4.5540000000000003</v>
      </c>
      <c r="B2" s="1">
        <v>3.2959999999999998</v>
      </c>
      <c r="C2" s="1">
        <v>0</v>
      </c>
    </row>
    <row r="3" spans="1:12" thickTop="1" thickBot="1" x14ac:dyDescent="0.3">
      <c r="A3" s="1">
        <v>-3.4620000000000002</v>
      </c>
      <c r="B3" s="1">
        <v>3.2959999999999998</v>
      </c>
      <c r="C3" s="1">
        <v>0</v>
      </c>
    </row>
    <row r="4" spans="1:12" thickTop="1" thickBot="1" x14ac:dyDescent="0.3">
      <c r="A4" s="1">
        <v>-4.9180000000000001</v>
      </c>
      <c r="B4" s="1">
        <v>4.1260000000000003</v>
      </c>
      <c r="C4" s="2">
        <v>-0.61</v>
      </c>
    </row>
    <row r="5" spans="1:12" thickTop="1" thickBot="1" x14ac:dyDescent="0.3">
      <c r="A5" s="1">
        <v>-4.9180000000000001</v>
      </c>
      <c r="B5" s="1">
        <v>3.41</v>
      </c>
      <c r="C5" s="1">
        <v>1.0229999999999999</v>
      </c>
    </row>
    <row r="6" spans="1:12" thickTop="1" thickBot="1" x14ac:dyDescent="0.3">
      <c r="A6" s="1">
        <v>-4.9180000000000001</v>
      </c>
      <c r="B6" s="1">
        <v>2.3530000000000002</v>
      </c>
      <c r="C6" s="1">
        <v>-0.41299999999999998</v>
      </c>
    </row>
    <row r="8" spans="1:12" thickTop="1" thickBot="1" x14ac:dyDescent="0.3">
      <c r="E8" s="1" t="s">
        <v>13</v>
      </c>
      <c r="F8" s="1" t="s">
        <v>15</v>
      </c>
      <c r="G8" s="3" t="s">
        <v>15</v>
      </c>
      <c r="H8" s="3" t="s">
        <v>15</v>
      </c>
      <c r="I8" s="3" t="s">
        <v>15</v>
      </c>
      <c r="K8" s="3"/>
      <c r="L8" s="3"/>
    </row>
    <row r="9" spans="1:12" thickTop="1" thickBot="1" x14ac:dyDescent="0.3">
      <c r="D9" s="1" t="s">
        <v>13</v>
      </c>
      <c r="E9" s="3">
        <v>0</v>
      </c>
      <c r="F9" s="3">
        <v>1.0920000000000001</v>
      </c>
      <c r="G9" s="3">
        <v>1.0924700000000001</v>
      </c>
      <c r="H9" s="3">
        <v>1.0918000000000001</v>
      </c>
      <c r="I9" s="3">
        <v>1.0919300000000001</v>
      </c>
      <c r="J9" s="3"/>
      <c r="K9" s="3"/>
      <c r="L9" s="3"/>
    </row>
    <row r="10" spans="1:12" thickTop="1" thickBot="1" x14ac:dyDescent="0.3">
      <c r="D10" s="1" t="s">
        <v>15</v>
      </c>
      <c r="E10" s="3">
        <v>1.0920000000000001</v>
      </c>
      <c r="F10" s="3">
        <v>0</v>
      </c>
      <c r="G10" s="3">
        <v>1.78352</v>
      </c>
      <c r="H10" s="3">
        <v>1.7830999999999999</v>
      </c>
      <c r="I10" s="3">
        <v>1.7831900000000001</v>
      </c>
      <c r="J10" s="3"/>
      <c r="K10" s="3"/>
      <c r="L10" s="3"/>
    </row>
    <row r="11" spans="1:12" thickTop="1" thickBot="1" x14ac:dyDescent="0.3">
      <c r="D11" s="3" t="s">
        <v>15</v>
      </c>
      <c r="E11" s="3">
        <v>1.0924700000000001</v>
      </c>
      <c r="F11" s="3">
        <v>1.78352</v>
      </c>
      <c r="G11" s="3">
        <v>0</v>
      </c>
      <c r="H11" s="3">
        <v>1.7830699999999999</v>
      </c>
      <c r="I11" s="3">
        <v>1.7839100000000001</v>
      </c>
      <c r="J11" s="3"/>
      <c r="K11" s="3"/>
      <c r="L11" s="3"/>
    </row>
    <row r="12" spans="1:12" thickTop="1" thickBot="1" x14ac:dyDescent="0.3">
      <c r="D12" s="3" t="s">
        <v>15</v>
      </c>
      <c r="E12" s="3">
        <v>1.0918000000000001</v>
      </c>
      <c r="F12" s="3">
        <v>1.7830999999999999</v>
      </c>
      <c r="G12" s="3">
        <v>1.7830699999999999</v>
      </c>
      <c r="H12" s="3">
        <v>0</v>
      </c>
      <c r="I12" s="3">
        <v>1.7830699999999999</v>
      </c>
      <c r="J12" s="3"/>
      <c r="K12" s="3"/>
      <c r="L12" s="3"/>
    </row>
    <row r="13" spans="1:12" thickTop="1" thickBot="1" x14ac:dyDescent="0.3">
      <c r="D13" s="3" t="s">
        <v>15</v>
      </c>
      <c r="E13" s="3">
        <v>1.0919300000000001</v>
      </c>
      <c r="F13" s="3">
        <v>1.7831900000000001</v>
      </c>
      <c r="G13" s="3">
        <v>1.7839100000000001</v>
      </c>
      <c r="H13" s="3">
        <v>1.7830699999999999</v>
      </c>
      <c r="I13" s="3">
        <v>0</v>
      </c>
      <c r="J13" s="3"/>
      <c r="K13" s="3"/>
      <c r="L13" s="3"/>
    </row>
    <row r="14" spans="1:12" thickTop="1" thickBot="1" x14ac:dyDescent="0.3">
      <c r="E14" s="3"/>
      <c r="F14" s="3"/>
      <c r="G14" s="3"/>
      <c r="H14" s="3"/>
      <c r="I14" s="3"/>
      <c r="J14" s="3"/>
      <c r="K14" s="3"/>
      <c r="L1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D75E-45A7-4664-BD26-BE894F9F2F5A}">
  <dimension ref="A1:AK33"/>
  <sheetViews>
    <sheetView topLeftCell="H17" zoomScale="175" zoomScaleNormal="175" workbookViewId="0">
      <selection activeCell="N35" sqref="N35"/>
    </sheetView>
  </sheetViews>
  <sheetFormatPr defaultRowHeight="16.5" thickTop="1" thickBottom="1" x14ac:dyDescent="0.3"/>
  <cols>
    <col min="1" max="1" width="10.7109375" style="3" customWidth="1"/>
    <col min="2" max="16384" width="9.140625" style="3"/>
  </cols>
  <sheetData>
    <row r="1" spans="1:18" thickTop="1" thickBot="1" x14ac:dyDescent="0.3">
      <c r="B1" s="3" t="s">
        <v>17</v>
      </c>
    </row>
    <row r="2" spans="1:18" thickTop="1" thickBot="1" x14ac:dyDescent="0.3">
      <c r="B2" s="3">
        <v>-1.28</v>
      </c>
      <c r="C2" s="3">
        <v>3.641</v>
      </c>
      <c r="D2" s="3">
        <v>0.17299999999999999</v>
      </c>
    </row>
    <row r="3" spans="1:18" thickTop="1" thickBot="1" x14ac:dyDescent="0.3">
      <c r="B3" s="3">
        <v>1.1459999999999999</v>
      </c>
      <c r="C3" s="3">
        <v>0.68300000000000005</v>
      </c>
      <c r="D3" s="3">
        <v>-0.39400000000000002</v>
      </c>
    </row>
    <row r="4" spans="1:18" thickTop="1" thickBot="1" x14ac:dyDescent="0.3">
      <c r="B4" s="3">
        <v>-2.641</v>
      </c>
      <c r="C4" s="3">
        <v>2.3E-2</v>
      </c>
      <c r="D4" s="2">
        <v>3.5000000000000003E-2</v>
      </c>
    </row>
    <row r="5" spans="1:18" thickTop="1" thickBot="1" x14ac:dyDescent="0.3">
      <c r="B5" s="3" t="s">
        <v>30</v>
      </c>
      <c r="C5" s="3" t="s">
        <v>30</v>
      </c>
      <c r="D5" s="3" t="s">
        <v>30</v>
      </c>
      <c r="E5" s="3" t="s">
        <v>31</v>
      </c>
      <c r="F5" s="3" t="s">
        <v>31</v>
      </c>
      <c r="G5" s="3" t="s">
        <v>31</v>
      </c>
      <c r="H5" s="3" t="s">
        <v>32</v>
      </c>
      <c r="I5" s="3" t="s">
        <v>32</v>
      </c>
      <c r="J5" s="3" t="s">
        <v>32</v>
      </c>
    </row>
    <row r="6" spans="1:18" thickTop="1" thickBot="1" x14ac:dyDescent="0.3">
      <c r="B6" s="3" t="s">
        <v>22</v>
      </c>
      <c r="C6" s="3" t="s">
        <v>23</v>
      </c>
      <c r="D6" s="3" t="s">
        <v>24</v>
      </c>
      <c r="E6" s="3" t="s">
        <v>22</v>
      </c>
      <c r="F6" s="3" t="s">
        <v>23</v>
      </c>
      <c r="G6" s="3" t="s">
        <v>25</v>
      </c>
      <c r="H6" s="3" t="s">
        <v>22</v>
      </c>
      <c r="I6" s="3" t="s">
        <v>23</v>
      </c>
      <c r="J6" s="3" t="s">
        <v>25</v>
      </c>
      <c r="P6" s="3" t="s">
        <v>57</v>
      </c>
      <c r="Q6" s="3" t="s">
        <v>57</v>
      </c>
    </row>
    <row r="7" spans="1:18" thickTop="1" thickBot="1" x14ac:dyDescent="0.3">
      <c r="A7" s="3" t="s">
        <v>10</v>
      </c>
      <c r="B7" s="3">
        <v>0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O7" s="3" t="s">
        <v>7</v>
      </c>
      <c r="P7" s="3" t="s">
        <v>30</v>
      </c>
      <c r="Q7" s="3" t="s">
        <v>30</v>
      </c>
      <c r="R7" s="4">
        <v>0</v>
      </c>
    </row>
    <row r="8" spans="1:18" thickTop="1" thickBot="1" x14ac:dyDescent="0.3">
      <c r="A8" s="3" t="s">
        <v>20</v>
      </c>
      <c r="B8" s="4">
        <v>-1.28</v>
      </c>
      <c r="C8" s="3">
        <v>3.641</v>
      </c>
      <c r="D8" s="3">
        <v>0.17299999999999999</v>
      </c>
      <c r="E8" s="4">
        <v>1.1459999999999999</v>
      </c>
      <c r="F8" s="3">
        <v>0.68300000000000005</v>
      </c>
      <c r="G8" s="3">
        <v>-0.39400000000000002</v>
      </c>
      <c r="H8" s="4">
        <v>-2.641</v>
      </c>
      <c r="I8" s="3">
        <v>2.3E-2</v>
      </c>
      <c r="J8" s="2">
        <v>3.5000000000000003E-2</v>
      </c>
      <c r="O8" s="3" t="s">
        <v>2</v>
      </c>
      <c r="P8" s="3" t="s">
        <v>30</v>
      </c>
      <c r="Q8" s="3" t="s">
        <v>31</v>
      </c>
      <c r="R8" s="4">
        <v>3.8673899999999999</v>
      </c>
    </row>
    <row r="9" spans="1:18" thickTop="1" thickBot="1" x14ac:dyDescent="0.3">
      <c r="B9" s="3">
        <f>ABS(B8-B8)</f>
        <v>0</v>
      </c>
      <c r="E9" s="3">
        <f>ABS(B8-E8)</f>
        <v>2.4260000000000002</v>
      </c>
      <c r="H9" s="3">
        <f>ABS(B8-H8)</f>
        <v>1.361</v>
      </c>
      <c r="O9" s="3" t="s">
        <v>3</v>
      </c>
      <c r="P9" s="3" t="s">
        <v>30</v>
      </c>
      <c r="Q9" s="3" t="s">
        <v>32</v>
      </c>
      <c r="R9" s="4">
        <v>3.8679800000000002</v>
      </c>
    </row>
    <row r="10" spans="1:18" thickTop="1" thickBot="1" x14ac:dyDescent="0.3">
      <c r="O10" s="3" t="s">
        <v>0</v>
      </c>
      <c r="P10" s="3" t="s">
        <v>31</v>
      </c>
      <c r="Q10" s="3" t="s">
        <v>30</v>
      </c>
      <c r="R10" s="3">
        <v>3.8673899999999999</v>
      </c>
    </row>
    <row r="11" spans="1:18" thickTop="1" thickBot="1" x14ac:dyDescent="0.3">
      <c r="O11" s="3" t="s">
        <v>1</v>
      </c>
      <c r="P11" s="3" t="s">
        <v>31</v>
      </c>
      <c r="Q11" s="3" t="s">
        <v>31</v>
      </c>
      <c r="R11" s="4">
        <v>0</v>
      </c>
    </row>
    <row r="12" spans="1:18" thickTop="1" thickBot="1" x14ac:dyDescent="0.3">
      <c r="D12" s="3" t="s">
        <v>30</v>
      </c>
      <c r="E12" s="3" t="s">
        <v>31</v>
      </c>
      <c r="F12" s="3" t="s">
        <v>32</v>
      </c>
      <c r="O12" s="3" t="s">
        <v>26</v>
      </c>
      <c r="P12" s="3" t="s">
        <v>31</v>
      </c>
      <c r="Q12" s="3" t="s">
        <v>32</v>
      </c>
      <c r="R12" s="4">
        <v>3.86795</v>
      </c>
    </row>
    <row r="13" spans="1:18" thickTop="1" thickBot="1" x14ac:dyDescent="0.3">
      <c r="B13" s="3" t="s">
        <v>21</v>
      </c>
      <c r="O13" s="3" t="s">
        <v>27</v>
      </c>
      <c r="P13" s="3" t="s">
        <v>32</v>
      </c>
      <c r="Q13" s="3" t="s">
        <v>30</v>
      </c>
      <c r="R13" s="3">
        <v>3.8679800000000002</v>
      </c>
    </row>
    <row r="14" spans="1:18" thickTop="1" thickBot="1" x14ac:dyDescent="0.3">
      <c r="B14" s="4" t="s">
        <v>33</v>
      </c>
      <c r="C14" s="4" t="s">
        <v>7</v>
      </c>
      <c r="D14" s="4">
        <f>ABS(B8-B8)</f>
        <v>0</v>
      </c>
      <c r="E14" s="4">
        <f>ABS(B8-E8)</f>
        <v>2.4260000000000002</v>
      </c>
      <c r="F14" s="4">
        <f>ABS(B8-H8)</f>
        <v>1.361</v>
      </c>
      <c r="K14" s="3" t="s">
        <v>19</v>
      </c>
      <c r="O14" s="3" t="s">
        <v>28</v>
      </c>
      <c r="P14" s="3" t="s">
        <v>32</v>
      </c>
      <c r="Q14" s="3" t="s">
        <v>31</v>
      </c>
      <c r="R14" s="3">
        <v>3.86795</v>
      </c>
    </row>
    <row r="15" spans="1:18" thickTop="1" thickBot="1" x14ac:dyDescent="0.3">
      <c r="B15" s="3" t="s">
        <v>34</v>
      </c>
      <c r="C15" s="3" t="s">
        <v>2</v>
      </c>
      <c r="D15" s="3">
        <f>ABS(C8-C8)</f>
        <v>0</v>
      </c>
      <c r="E15" s="3">
        <f>ABS(C8-F8)</f>
        <v>2.9580000000000002</v>
      </c>
      <c r="F15" s="3">
        <f>ABS(C8-I8)</f>
        <v>3.6179999999999999</v>
      </c>
      <c r="K15" s="3" t="s">
        <v>7</v>
      </c>
      <c r="L15" s="3" t="s">
        <v>2</v>
      </c>
      <c r="M15" s="3" t="s">
        <v>3</v>
      </c>
      <c r="O15" s="3" t="s">
        <v>29</v>
      </c>
      <c r="P15" s="3" t="s">
        <v>32</v>
      </c>
      <c r="Q15" s="3" t="s">
        <v>32</v>
      </c>
      <c r="R15" s="4">
        <v>0</v>
      </c>
    </row>
    <row r="16" spans="1:18" thickTop="1" thickBot="1" x14ac:dyDescent="0.3">
      <c r="B16" s="3" t="s">
        <v>35</v>
      </c>
      <c r="C16" s="3" t="s">
        <v>3</v>
      </c>
      <c r="D16" s="3">
        <f>ABS(D8-D8)</f>
        <v>0</v>
      </c>
      <c r="E16" s="3">
        <f>ABS(D8-G8)</f>
        <v>0.56699999999999995</v>
      </c>
      <c r="F16" s="3">
        <f>ABS(D8-J8)</f>
        <v>0.13799999999999998</v>
      </c>
      <c r="K16" s="3" t="s">
        <v>30</v>
      </c>
      <c r="L16" s="3" t="s">
        <v>31</v>
      </c>
      <c r="M16" s="3" t="s">
        <v>32</v>
      </c>
    </row>
    <row r="17" spans="2:37" thickTop="1" thickBot="1" x14ac:dyDescent="0.3">
      <c r="B17" s="4" t="s">
        <v>36</v>
      </c>
      <c r="C17" s="4" t="s">
        <v>0</v>
      </c>
      <c r="D17" s="4">
        <f>ABS(E8-B8)</f>
        <v>2.4260000000000002</v>
      </c>
      <c r="E17" s="4">
        <f>ABS(E8-E8)</f>
        <v>0</v>
      </c>
      <c r="F17" s="4">
        <f>ABS(E8-H8)</f>
        <v>3.7869999999999999</v>
      </c>
      <c r="K17" s="4">
        <v>0</v>
      </c>
      <c r="L17" s="4">
        <v>3.8673899999999999</v>
      </c>
      <c r="M17" s="4">
        <v>3.8679800000000002</v>
      </c>
    </row>
    <row r="18" spans="2:37" thickTop="1" thickBot="1" x14ac:dyDescent="0.3">
      <c r="B18" s="3" t="s">
        <v>37</v>
      </c>
      <c r="C18" s="3" t="s">
        <v>1</v>
      </c>
      <c r="D18" s="3">
        <f>ABS(F8-C8)</f>
        <v>2.9580000000000002</v>
      </c>
      <c r="E18" s="3">
        <f>ABS(F8-F8)</f>
        <v>0</v>
      </c>
      <c r="F18" s="3">
        <f>ABS(F8-I8)</f>
        <v>0.66</v>
      </c>
      <c r="K18" s="3">
        <v>3.8673899999999999</v>
      </c>
      <c r="L18" s="4">
        <v>0</v>
      </c>
      <c r="M18" s="4">
        <v>3.86795</v>
      </c>
    </row>
    <row r="19" spans="2:37" thickTop="1" thickBot="1" x14ac:dyDescent="0.3">
      <c r="B19" s="3" t="s">
        <v>38</v>
      </c>
      <c r="C19" s="3" t="s">
        <v>26</v>
      </c>
      <c r="D19" s="3">
        <f>ABS(G8-D8)</f>
        <v>0.56699999999999995</v>
      </c>
      <c r="E19" s="3">
        <f>ABS(G8-G8)</f>
        <v>0</v>
      </c>
      <c r="F19" s="3">
        <f>ABS(G8-J8)</f>
        <v>0.42900000000000005</v>
      </c>
      <c r="K19" s="3">
        <v>3.8679800000000002</v>
      </c>
      <c r="L19" s="3">
        <v>3.86795</v>
      </c>
      <c r="M19" s="4">
        <v>0</v>
      </c>
    </row>
    <row r="20" spans="2:37" thickTop="1" thickBot="1" x14ac:dyDescent="0.3">
      <c r="B20" s="4" t="s">
        <v>39</v>
      </c>
      <c r="C20" s="4" t="s">
        <v>27</v>
      </c>
      <c r="D20" s="4">
        <f>ABS(H8-B8)</f>
        <v>1.361</v>
      </c>
      <c r="E20" s="4">
        <f>ABS(H8-E8)</f>
        <v>3.7869999999999999</v>
      </c>
      <c r="F20" s="4">
        <f>ABS(H8-H8)</f>
        <v>0</v>
      </c>
    </row>
    <row r="21" spans="2:37" thickTop="1" thickBot="1" x14ac:dyDescent="0.3">
      <c r="B21" s="3" t="s">
        <v>40</v>
      </c>
      <c r="C21" s="3" t="s">
        <v>28</v>
      </c>
      <c r="D21" s="3">
        <f>ABS(I8-C8)</f>
        <v>3.6179999999999999</v>
      </c>
      <c r="E21" s="3">
        <f>ABS(I8-F8)</f>
        <v>0.66</v>
      </c>
      <c r="F21" s="3">
        <f>ABS(I8-I8)</f>
        <v>0</v>
      </c>
    </row>
    <row r="22" spans="2:37" thickTop="1" thickBot="1" x14ac:dyDescent="0.3">
      <c r="B22" s="3" t="s">
        <v>41</v>
      </c>
      <c r="C22" s="3" t="s">
        <v>29</v>
      </c>
      <c r="D22" s="3">
        <f>ABS(J8-D8)</f>
        <v>0.13799999999999998</v>
      </c>
      <c r="E22" s="3">
        <f>ABS(J8-G8)</f>
        <v>0.42900000000000005</v>
      </c>
      <c r="F22" s="3">
        <f>ABS(J8-J8)</f>
        <v>0</v>
      </c>
      <c r="K22" s="3" t="s">
        <v>18</v>
      </c>
      <c r="L22" s="3" t="s">
        <v>18</v>
      </c>
      <c r="M22" s="3" t="s">
        <v>18</v>
      </c>
      <c r="N22" s="3" t="s">
        <v>18</v>
      </c>
      <c r="O22" s="3" t="s">
        <v>18</v>
      </c>
      <c r="P22" s="3" t="s">
        <v>18</v>
      </c>
      <c r="Q22" s="3" t="s">
        <v>18</v>
      </c>
      <c r="R22" s="3" t="s">
        <v>18</v>
      </c>
      <c r="S22" s="3" t="s">
        <v>18</v>
      </c>
    </row>
    <row r="23" spans="2:37" thickTop="1" thickBot="1" x14ac:dyDescent="0.3">
      <c r="K23" s="4">
        <v>0</v>
      </c>
      <c r="L23" s="4">
        <v>3.8673899999999999</v>
      </c>
      <c r="M23" s="4">
        <v>3.8679800000000002</v>
      </c>
      <c r="N23" s="3">
        <v>3.8673899999999999</v>
      </c>
      <c r="O23" s="4">
        <v>0</v>
      </c>
      <c r="P23" s="4">
        <v>3.86795</v>
      </c>
      <c r="Q23" s="3">
        <v>3.8679800000000002</v>
      </c>
      <c r="R23" s="3">
        <v>3.86795</v>
      </c>
      <c r="S23" s="4">
        <v>0</v>
      </c>
    </row>
    <row r="25" spans="2:37" thickTop="1" thickBot="1" x14ac:dyDescent="0.3">
      <c r="B25" s="4" t="s">
        <v>33</v>
      </c>
      <c r="C25" s="4" t="s">
        <v>7</v>
      </c>
      <c r="D25" s="4">
        <v>0</v>
      </c>
      <c r="E25" s="4">
        <v>2.4260000000000002</v>
      </c>
      <c r="F25" s="4">
        <v>1.361</v>
      </c>
    </row>
    <row r="26" spans="2:37" thickTop="1" thickBot="1" x14ac:dyDescent="0.3">
      <c r="B26" s="4" t="s">
        <v>36</v>
      </c>
      <c r="C26" s="4" t="s">
        <v>0</v>
      </c>
      <c r="D26" s="4">
        <v>2.4260000000000002</v>
      </c>
      <c r="E26" s="4">
        <v>0</v>
      </c>
      <c r="F26" s="4">
        <v>3.7869999999999999</v>
      </c>
    </row>
    <row r="27" spans="2:37" thickTop="1" thickBot="1" x14ac:dyDescent="0.3">
      <c r="B27" s="4" t="s">
        <v>39</v>
      </c>
      <c r="C27" s="4" t="s">
        <v>27</v>
      </c>
      <c r="D27" s="4">
        <v>1.361</v>
      </c>
      <c r="E27" s="4">
        <v>3.7869999999999999</v>
      </c>
      <c r="F27" s="4">
        <v>0</v>
      </c>
      <c r="K27" s="3" t="s">
        <v>66</v>
      </c>
    </row>
    <row r="28" spans="2:37" thickTop="1" thickBot="1" x14ac:dyDescent="0.3">
      <c r="K28" s="4">
        <v>0</v>
      </c>
      <c r="L28" s="3">
        <v>1</v>
      </c>
      <c r="M28" s="3">
        <v>2</v>
      </c>
      <c r="N28" s="3">
        <v>3</v>
      </c>
      <c r="O28" s="3">
        <v>4</v>
      </c>
      <c r="P28" s="3">
        <v>5</v>
      </c>
      <c r="Q28" s="3">
        <v>6</v>
      </c>
      <c r="R28" s="3">
        <v>7</v>
      </c>
      <c r="S28" s="3">
        <v>8</v>
      </c>
      <c r="T28" s="4">
        <v>9</v>
      </c>
      <c r="U28" s="3">
        <v>10</v>
      </c>
      <c r="V28" s="3">
        <v>11</v>
      </c>
      <c r="W28" s="3">
        <v>12</v>
      </c>
      <c r="X28" s="3">
        <v>13</v>
      </c>
      <c r="Y28" s="3">
        <v>14</v>
      </c>
      <c r="Z28" s="3">
        <v>15</v>
      </c>
      <c r="AA28" s="3">
        <v>16</v>
      </c>
      <c r="AB28" s="3">
        <v>17</v>
      </c>
      <c r="AC28" s="4">
        <v>18</v>
      </c>
      <c r="AD28" s="3">
        <v>19</v>
      </c>
      <c r="AE28" s="3">
        <v>20</v>
      </c>
      <c r="AF28" s="3">
        <v>21</v>
      </c>
      <c r="AG28" s="3">
        <v>22</v>
      </c>
      <c r="AH28" s="3">
        <v>23</v>
      </c>
      <c r="AI28" s="3">
        <v>24</v>
      </c>
      <c r="AJ28" s="3">
        <v>25</v>
      </c>
      <c r="AK28" s="3">
        <v>26</v>
      </c>
    </row>
    <row r="29" spans="2:37" thickTop="1" thickBot="1" x14ac:dyDescent="0.3">
      <c r="K29" s="3">
        <v>0</v>
      </c>
      <c r="L29" s="3">
        <v>0</v>
      </c>
      <c r="M29" s="3">
        <v>0</v>
      </c>
      <c r="N29" s="3">
        <v>-0.13724900000000001</v>
      </c>
      <c r="O29" s="3">
        <v>0.167347</v>
      </c>
      <c r="P29" s="3">
        <v>3.2077599999999998E-2</v>
      </c>
      <c r="Q29" s="3">
        <v>7.7750799999999995E-2</v>
      </c>
      <c r="R29" s="3">
        <v>0.20668800000000001</v>
      </c>
      <c r="S29" s="3">
        <v>7.8836300000000008E-3</v>
      </c>
      <c r="T29" s="3">
        <v>0.13724900000000001</v>
      </c>
      <c r="U29" s="3">
        <v>-0.167347</v>
      </c>
      <c r="V29" s="3">
        <v>-3.2077599999999998E-2</v>
      </c>
      <c r="W29" s="3">
        <v>0</v>
      </c>
      <c r="X29" s="3">
        <v>0</v>
      </c>
      <c r="Y29" s="3">
        <v>0</v>
      </c>
      <c r="Z29" s="3">
        <v>0.21621499999999999</v>
      </c>
      <c r="AA29" s="3">
        <v>3.7682100000000003E-2</v>
      </c>
      <c r="AB29" s="3">
        <v>-2.4493299999999999E-2</v>
      </c>
      <c r="AC29" s="3">
        <v>-7.7750799999999995E-2</v>
      </c>
      <c r="AD29" s="3">
        <v>-0.20668800000000001</v>
      </c>
      <c r="AE29" s="3">
        <v>-7.8836300000000008E-3</v>
      </c>
      <c r="AF29" s="3">
        <v>-0.21621499999999999</v>
      </c>
      <c r="AG29" s="3">
        <v>-3.7682100000000003E-2</v>
      </c>
      <c r="AH29" s="3">
        <v>2.4493299999999999E-2</v>
      </c>
      <c r="AI29" s="3">
        <v>0</v>
      </c>
      <c r="AJ29" s="3">
        <v>0</v>
      </c>
      <c r="AK29" s="3">
        <v>0</v>
      </c>
    </row>
    <row r="30" spans="2:37" thickTop="1" thickBot="1" x14ac:dyDescent="0.3">
      <c r="B30" s="3" t="s">
        <v>42</v>
      </c>
      <c r="K30" s="3" t="s">
        <v>22</v>
      </c>
      <c r="L30" s="3" t="s">
        <v>23</v>
      </c>
      <c r="M30" s="3" t="s">
        <v>25</v>
      </c>
    </row>
    <row r="31" spans="2:37" thickTop="1" thickBot="1" x14ac:dyDescent="0.3">
      <c r="J31" s="3" t="s">
        <v>67</v>
      </c>
      <c r="K31" s="3">
        <f>K29+N29+Q29</f>
        <v>-5.9498200000000015E-2</v>
      </c>
      <c r="L31" s="3">
        <f t="shared" ref="L31:M31" si="0">L29+O29+R29</f>
        <v>0.37403500000000001</v>
      </c>
      <c r="M31" s="3">
        <f t="shared" si="0"/>
        <v>3.996123E-2</v>
      </c>
      <c r="O31" s="3">
        <f>SQRT((K31^2)+(L31^2)+(M31^2))</f>
        <v>0.38084001487678903</v>
      </c>
    </row>
    <row r="32" spans="2:37" thickTop="1" thickBot="1" x14ac:dyDescent="0.3">
      <c r="J32" s="3" t="s">
        <v>68</v>
      </c>
      <c r="K32" s="3">
        <f>T29+W29+Z29</f>
        <v>0.353464</v>
      </c>
      <c r="L32" s="3">
        <f t="shared" ref="L32:M32" si="1">U29+X29+AA29</f>
        <v>-0.1296649</v>
      </c>
      <c r="M32" s="3">
        <f t="shared" si="1"/>
        <v>-5.6570899999999993E-2</v>
      </c>
      <c r="O32" s="3">
        <f t="shared" ref="O32:O33" si="2">SQRT((K32^2)+(L32^2)+(M32^2))</f>
        <v>0.3807230651205939</v>
      </c>
    </row>
    <row r="33" spans="10:15" thickTop="1" thickBot="1" x14ac:dyDescent="0.3">
      <c r="J33" s="3" t="s">
        <v>69</v>
      </c>
      <c r="K33" s="3">
        <f>AC29+AF29+AI29</f>
        <v>-0.2939658</v>
      </c>
      <c r="L33" s="3">
        <f t="shared" ref="L33:M33" si="3">AD29+AG29+AJ29</f>
        <v>-0.24437010000000001</v>
      </c>
      <c r="M33" s="3">
        <f t="shared" si="3"/>
        <v>1.660967E-2</v>
      </c>
      <c r="O33" s="3">
        <f t="shared" si="2"/>
        <v>0.38263366093583417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FE66-E257-4CB9-86DA-1D216A82E9E8}">
  <dimension ref="A1:O41"/>
  <sheetViews>
    <sheetView tabSelected="1" topLeftCell="A13" zoomScale="175" zoomScaleNormal="175" workbookViewId="0">
      <selection activeCell="I16" sqref="I16"/>
    </sheetView>
  </sheetViews>
  <sheetFormatPr defaultRowHeight="16.5" thickTop="1" thickBottom="1" x14ac:dyDescent="0.3"/>
  <cols>
    <col min="1" max="1" width="10.7109375" style="3" customWidth="1"/>
    <col min="2" max="6" width="9.140625" style="3"/>
    <col min="7" max="7" width="10.42578125" style="3" customWidth="1"/>
    <col min="8" max="8" width="11" style="3" customWidth="1"/>
    <col min="9" max="16384" width="9.140625" style="3"/>
  </cols>
  <sheetData>
    <row r="1" spans="1:13" thickTop="1" thickBot="1" x14ac:dyDescent="0.3">
      <c r="B1" s="3" t="s">
        <v>17</v>
      </c>
    </row>
    <row r="2" spans="1:13" thickTop="1" thickBot="1" x14ac:dyDescent="0.3">
      <c r="B2" s="3">
        <v>-1.28</v>
      </c>
      <c r="C2" s="3">
        <v>3.641</v>
      </c>
      <c r="D2" s="3">
        <v>0.17299999999999999</v>
      </c>
    </row>
    <row r="3" spans="1:13" thickTop="1" thickBot="1" x14ac:dyDescent="0.3">
      <c r="B3" s="3">
        <v>1.1459999999999999</v>
      </c>
      <c r="C3" s="3">
        <v>0.68300000000000005</v>
      </c>
      <c r="D3" s="3">
        <v>-0.39400000000000002</v>
      </c>
    </row>
    <row r="4" spans="1:13" thickTop="1" thickBot="1" x14ac:dyDescent="0.3">
      <c r="B4" s="3">
        <v>-2.641</v>
      </c>
      <c r="C4" s="3">
        <v>2.3E-2</v>
      </c>
      <c r="D4" s="2">
        <v>3.5000000000000003E-2</v>
      </c>
    </row>
    <row r="5" spans="1:13" thickTop="1" thickBot="1" x14ac:dyDescent="0.3">
      <c r="B5" s="3" t="s">
        <v>30</v>
      </c>
      <c r="C5" s="3" t="s">
        <v>30</v>
      </c>
      <c r="D5" s="3" t="s">
        <v>30</v>
      </c>
      <c r="E5" s="3" t="s">
        <v>31</v>
      </c>
      <c r="F5" s="3" t="s">
        <v>31</v>
      </c>
      <c r="G5" s="3" t="s">
        <v>31</v>
      </c>
    </row>
    <row r="6" spans="1:13" thickTop="1" thickBot="1" x14ac:dyDescent="0.3">
      <c r="B6" s="3" t="s">
        <v>22</v>
      </c>
      <c r="C6" s="3" t="s">
        <v>23</v>
      </c>
      <c r="D6" s="3" t="s">
        <v>24</v>
      </c>
      <c r="E6" s="3" t="s">
        <v>22</v>
      </c>
      <c r="F6" s="3" t="s">
        <v>23</v>
      </c>
      <c r="G6" s="3" t="s">
        <v>25</v>
      </c>
    </row>
    <row r="7" spans="1:13" thickTop="1" thickBot="1" x14ac:dyDescent="0.3">
      <c r="A7" s="3" t="s">
        <v>10</v>
      </c>
      <c r="B7" s="3">
        <v>0</v>
      </c>
      <c r="C7" s="3">
        <v>1</v>
      </c>
      <c r="D7" s="3">
        <v>2</v>
      </c>
      <c r="E7" s="3">
        <v>3</v>
      </c>
      <c r="F7" s="3">
        <v>4</v>
      </c>
      <c r="G7" s="3">
        <v>5</v>
      </c>
    </row>
    <row r="8" spans="1:13" thickTop="1" thickBot="1" x14ac:dyDescent="0.3">
      <c r="A8" s="3" t="s">
        <v>20</v>
      </c>
      <c r="B8" s="4">
        <v>-1.28</v>
      </c>
      <c r="C8" s="6">
        <v>3.641</v>
      </c>
      <c r="D8" s="7">
        <v>0.17299999999999999</v>
      </c>
      <c r="E8" s="4">
        <v>1.1459999999999999</v>
      </c>
      <c r="F8" s="6">
        <v>0.68300000000000005</v>
      </c>
      <c r="G8" s="7">
        <v>-0.39400000000000002</v>
      </c>
      <c r="H8" s="5"/>
      <c r="J8" s="2"/>
    </row>
    <row r="9" spans="1:13" thickTop="1" thickBot="1" x14ac:dyDescent="0.3">
      <c r="B9" s="3">
        <f>ABS(B8-B8)</f>
        <v>0</v>
      </c>
      <c r="E9" s="3">
        <f>ABS(B8-E8)</f>
        <v>2.4260000000000002</v>
      </c>
    </row>
    <row r="12" spans="1:13" thickTop="1" thickBot="1" x14ac:dyDescent="0.3">
      <c r="D12" s="3" t="s">
        <v>30</v>
      </c>
      <c r="E12" s="3" t="s">
        <v>31</v>
      </c>
    </row>
    <row r="13" spans="1:13" thickTop="1" thickBot="1" x14ac:dyDescent="0.3">
      <c r="B13" s="3" t="s">
        <v>21</v>
      </c>
      <c r="H13" s="3" t="s">
        <v>43</v>
      </c>
      <c r="I13" s="3" t="s">
        <v>44</v>
      </c>
    </row>
    <row r="14" spans="1:13" thickTop="1" thickBot="1" x14ac:dyDescent="0.3">
      <c r="B14" s="4" t="s">
        <v>33</v>
      </c>
      <c r="C14" s="4" t="s">
        <v>7</v>
      </c>
      <c r="D14" s="4">
        <f>ABS(B8-B8)</f>
        <v>0</v>
      </c>
      <c r="E14" s="4">
        <f>ABS(B8-E8)</f>
        <v>2.4260000000000002</v>
      </c>
      <c r="F14" s="5"/>
      <c r="H14" s="3">
        <f>3.4</f>
        <v>3.4</v>
      </c>
      <c r="I14" s="3">
        <v>0.997</v>
      </c>
      <c r="K14" s="3" t="s">
        <v>19</v>
      </c>
    </row>
    <row r="15" spans="1:13" thickTop="1" thickBot="1" x14ac:dyDescent="0.3">
      <c r="B15" s="3" t="s">
        <v>34</v>
      </c>
      <c r="C15" s="3" t="s">
        <v>2</v>
      </c>
      <c r="D15" s="3">
        <f>ABS(C8-C8)</f>
        <v>0</v>
      </c>
      <c r="E15" s="3">
        <f>ABS(C8-F8)</f>
        <v>2.9580000000000002</v>
      </c>
      <c r="F15" s="5"/>
      <c r="K15" s="3" t="s">
        <v>7</v>
      </c>
      <c r="L15" s="3" t="s">
        <v>2</v>
      </c>
      <c r="M15" s="3" t="s">
        <v>3</v>
      </c>
    </row>
    <row r="16" spans="1:13" thickTop="1" thickBot="1" x14ac:dyDescent="0.3">
      <c r="B16" s="3" t="s">
        <v>35</v>
      </c>
      <c r="C16" s="3" t="s">
        <v>3</v>
      </c>
      <c r="D16" s="3">
        <f>ABS(D8-D8)</f>
        <v>0</v>
      </c>
      <c r="E16" s="3">
        <f>ABS(D8-G8)</f>
        <v>0.56699999999999995</v>
      </c>
      <c r="F16" s="5"/>
      <c r="H16" s="3" t="s">
        <v>46</v>
      </c>
      <c r="I16" s="3">
        <v>4</v>
      </c>
      <c r="K16" s="3" t="s">
        <v>18</v>
      </c>
      <c r="L16" s="3" t="s">
        <v>18</v>
      </c>
      <c r="M16" s="3" t="s">
        <v>18</v>
      </c>
    </row>
    <row r="17" spans="1:15" thickTop="1" thickBot="1" x14ac:dyDescent="0.3">
      <c r="B17" s="4" t="s">
        <v>36</v>
      </c>
      <c r="C17" s="4" t="s">
        <v>0</v>
      </c>
      <c r="D17" s="4">
        <f>ABS(E8-B8)</f>
        <v>2.4260000000000002</v>
      </c>
      <c r="E17" s="4">
        <f>ABS(E8-E8)</f>
        <v>0</v>
      </c>
      <c r="F17" s="5"/>
      <c r="J17" s="3" t="s">
        <v>18</v>
      </c>
      <c r="K17" s="4">
        <v>0</v>
      </c>
      <c r="L17" s="4">
        <v>3.8673899999999999</v>
      </c>
      <c r="M17" s="4">
        <v>3.8679800000000002</v>
      </c>
    </row>
    <row r="18" spans="1:15" thickTop="1" thickBot="1" x14ac:dyDescent="0.3">
      <c r="B18" s="3" t="s">
        <v>37</v>
      </c>
      <c r="C18" s="3" t="s">
        <v>1</v>
      </c>
      <c r="D18" s="3">
        <f>ABS(F8-C8)</f>
        <v>2.9580000000000002</v>
      </c>
      <c r="E18" s="3">
        <f>ABS(F8-F8)</f>
        <v>0</v>
      </c>
      <c r="F18" s="5"/>
      <c r="J18" s="3" t="s">
        <v>18</v>
      </c>
      <c r="K18" s="3">
        <v>3.8673899999999999</v>
      </c>
      <c r="L18" s="4">
        <v>0</v>
      </c>
      <c r="M18" s="4">
        <v>3.86795</v>
      </c>
    </row>
    <row r="19" spans="1:15" thickTop="1" thickBot="1" x14ac:dyDescent="0.3">
      <c r="B19" s="3" t="s">
        <v>38</v>
      </c>
      <c r="C19" s="3" t="s">
        <v>26</v>
      </c>
      <c r="D19" s="3">
        <f>ABS(G8-D8)</f>
        <v>0.56699999999999995</v>
      </c>
      <c r="E19" s="3">
        <f>ABS(G8-G8)</f>
        <v>0</v>
      </c>
      <c r="F19" s="5"/>
      <c r="J19" s="3" t="s">
        <v>18</v>
      </c>
      <c r="K19" s="3">
        <v>3.8679800000000002</v>
      </c>
      <c r="L19" s="3">
        <v>3.86795</v>
      </c>
      <c r="M19" s="4">
        <v>0</v>
      </c>
    </row>
    <row r="20" spans="1:15" thickTop="1" thickBot="1" x14ac:dyDescent="0.3">
      <c r="B20" s="5"/>
      <c r="C20" s="5"/>
      <c r="D20" s="5"/>
      <c r="E20" s="5"/>
      <c r="F20" s="5"/>
    </row>
    <row r="21" spans="1:15" thickTop="1" thickBot="1" x14ac:dyDescent="0.3">
      <c r="F21" s="5"/>
    </row>
    <row r="25" spans="1:15" thickTop="1" thickBot="1" x14ac:dyDescent="0.3">
      <c r="B25" s="4" t="s">
        <v>33</v>
      </c>
      <c r="C25" s="4" t="s">
        <v>7</v>
      </c>
      <c r="D25" s="4">
        <v>0</v>
      </c>
      <c r="E25" s="4">
        <v>2.4260000000000002</v>
      </c>
      <c r="F25" s="5"/>
      <c r="G25" s="6" t="s">
        <v>34</v>
      </c>
      <c r="H25" s="6" t="s">
        <v>2</v>
      </c>
      <c r="I25" s="6">
        <v>0</v>
      </c>
      <c r="J25" s="6">
        <v>2.9580000000000002</v>
      </c>
      <c r="L25" s="7" t="s">
        <v>35</v>
      </c>
      <c r="M25" s="7" t="s">
        <v>3</v>
      </c>
      <c r="N25" s="7">
        <v>0</v>
      </c>
      <c r="O25" s="7">
        <v>0.56699999999999995</v>
      </c>
    </row>
    <row r="26" spans="1:15" thickTop="1" thickBot="1" x14ac:dyDescent="0.3">
      <c r="B26" s="4" t="s">
        <v>36</v>
      </c>
      <c r="C26" s="4" t="s">
        <v>0</v>
      </c>
      <c r="D26" s="4">
        <v>2.4260000000000002</v>
      </c>
      <c r="E26" s="4">
        <v>0</v>
      </c>
      <c r="F26" s="5"/>
      <c r="G26" s="6" t="s">
        <v>37</v>
      </c>
      <c r="H26" s="6" t="s">
        <v>1</v>
      </c>
      <c r="I26" s="6">
        <v>2.9580000000000002</v>
      </c>
      <c r="J26" s="6">
        <v>0</v>
      </c>
      <c r="L26" s="7" t="s">
        <v>38</v>
      </c>
      <c r="M26" s="7" t="s">
        <v>26</v>
      </c>
      <c r="N26" s="7">
        <v>0.56699999999999995</v>
      </c>
      <c r="O26" s="7">
        <v>0</v>
      </c>
    </row>
    <row r="27" spans="1:15" thickTop="1" thickBot="1" x14ac:dyDescent="0.3">
      <c r="A27" s="3" t="s">
        <v>45</v>
      </c>
      <c r="B27" s="5"/>
      <c r="C27" s="5"/>
      <c r="D27" s="5" t="e">
        <f>(4*$I$14)*((($H$14/D25)^12)-(($H$14/D25)^6))</f>
        <v>#DIV/0!</v>
      </c>
      <c r="E27" s="5">
        <f>(4*$I$14)*((($H$14/E25)^12)-(($H$14/E25)^6))</f>
        <v>198.76866911688103</v>
      </c>
      <c r="F27" s="5"/>
    </row>
    <row r="28" spans="1:15" thickTop="1" thickBot="1" x14ac:dyDescent="0.3">
      <c r="D28" s="5">
        <f>(4*$I$14)*((($H$14/D26)^12)-(($H$14/D26)^6))</f>
        <v>198.76866911688103</v>
      </c>
      <c r="E28" s="5" t="e">
        <f>(4*$I$14)*((($H$14/E26)^12)-(($H$14/E26)^6))</f>
        <v>#DIV/0!</v>
      </c>
    </row>
    <row r="30" spans="1:15" thickTop="1" thickBot="1" x14ac:dyDescent="0.3">
      <c r="B30" s="3" t="s">
        <v>42</v>
      </c>
      <c r="J30" s="3" t="s">
        <v>61</v>
      </c>
      <c r="K30" s="3">
        <v>0.215838</v>
      </c>
      <c r="L30" s="3" t="s">
        <v>62</v>
      </c>
      <c r="M30" s="3" t="s">
        <v>63</v>
      </c>
      <c r="N30" s="3" t="s">
        <v>64</v>
      </c>
      <c r="O30" s="3">
        <v>-4.4362199999999997E-2</v>
      </c>
    </row>
    <row r="31" spans="1:15" thickTop="1" thickBot="1" x14ac:dyDescent="0.3">
      <c r="J31" s="3" t="s">
        <v>58</v>
      </c>
      <c r="K31" s="3">
        <f>((48*I14)/H14)</f>
        <v>14.07529411764706</v>
      </c>
    </row>
    <row r="32" spans="1:15" thickTop="1" thickBot="1" x14ac:dyDescent="0.3">
      <c r="J32" s="3" t="s">
        <v>59</v>
      </c>
      <c r="K32" s="3">
        <f>((H14/L17)^13)</f>
        <v>0.18740980659437245</v>
      </c>
    </row>
    <row r="33" spans="2:13" thickTop="1" thickBot="1" x14ac:dyDescent="0.3">
      <c r="C33" s="3" t="s">
        <v>56</v>
      </c>
      <c r="G33" s="3" t="s">
        <v>50</v>
      </c>
      <c r="J33" s="3" t="s">
        <v>60</v>
      </c>
      <c r="K33" s="3">
        <f>((H14/L17)^7)</f>
        <v>0.40590708305354561</v>
      </c>
    </row>
    <row r="34" spans="2:13" thickTop="1" thickBot="1" x14ac:dyDescent="0.3">
      <c r="C34" s="3" t="s">
        <v>47</v>
      </c>
      <c r="D34" s="3" t="s">
        <v>49</v>
      </c>
      <c r="G34" s="3" t="s">
        <v>48</v>
      </c>
      <c r="H34" s="3" t="s">
        <v>49</v>
      </c>
    </row>
    <row r="35" spans="2:13" thickTop="1" thickBot="1" x14ac:dyDescent="0.3">
      <c r="B35" s="3" t="s">
        <v>55</v>
      </c>
      <c r="C35" s="3">
        <f>((4*I14)*(((H14/I16)^12)-((H14/I16)^6)))</f>
        <v>-0.93681214085344544</v>
      </c>
      <c r="D35" s="3">
        <f>((4*I14)*(((H14/L17)^12)-((H14/L17)^6)))</f>
        <v>-0.99115192877579439</v>
      </c>
      <c r="F35" s="3" t="s">
        <v>51</v>
      </c>
      <c r="G35" s="3">
        <f>((48*I14)/H14)*(((H14/I16)^13)-(0.5*((H14/I16)^7)))</f>
        <v>-0.55432802009158688</v>
      </c>
      <c r="H35" s="3">
        <f>((48*I14)/H14)*(((H14/L17)^13)-(0.5*((H14/L17)^7)))</f>
        <v>-0.21878264086027982</v>
      </c>
    </row>
    <row r="36" spans="2:13" thickTop="1" thickBot="1" x14ac:dyDescent="0.3">
      <c r="F36" s="3" t="s">
        <v>52</v>
      </c>
      <c r="H36" s="3">
        <f>H35*(E8-B8)*(1/L17)</f>
        <v>-0.137241572928264</v>
      </c>
    </row>
    <row r="37" spans="2:13" thickTop="1" thickBot="1" x14ac:dyDescent="0.3">
      <c r="F37" s="3" t="s">
        <v>53</v>
      </c>
      <c r="H37" s="3">
        <f>H35*(F8-C8)*(1/L17)</f>
        <v>0.16733741662069451</v>
      </c>
      <c r="K37" s="3" t="s">
        <v>57</v>
      </c>
      <c r="L37" s="3" t="s">
        <v>57</v>
      </c>
      <c r="M37" s="3" t="s">
        <v>65</v>
      </c>
    </row>
    <row r="38" spans="2:13" thickTop="1" thickBot="1" x14ac:dyDescent="0.3">
      <c r="F38" s="3" t="s">
        <v>54</v>
      </c>
      <c r="H38" s="3">
        <f>H35*(G8-D8)*(1/L17)</f>
        <v>3.2075833409037788E-2</v>
      </c>
      <c r="K38" s="3">
        <v>1</v>
      </c>
      <c r="L38" s="3">
        <v>1</v>
      </c>
      <c r="M38" s="3">
        <v>0</v>
      </c>
    </row>
    <row r="39" spans="2:13" thickTop="1" thickBot="1" x14ac:dyDescent="0.3">
      <c r="H39" s="3">
        <f>SQRT((H36^2) +(H37^2)+(H38^2))</f>
        <v>0.21878281337892205</v>
      </c>
      <c r="K39" s="3">
        <v>1</v>
      </c>
      <c r="L39" s="3">
        <v>2</v>
      </c>
      <c r="M39" s="3">
        <v>3.8256000000000001</v>
      </c>
    </row>
    <row r="40" spans="2:13" thickTop="1" thickBot="1" x14ac:dyDescent="0.3">
      <c r="K40" s="3">
        <v>2</v>
      </c>
      <c r="L40" s="3">
        <v>1</v>
      </c>
      <c r="M40" s="3">
        <v>3.8256000000000001</v>
      </c>
    </row>
    <row r="41" spans="2:13" thickTop="1" thickBot="1" x14ac:dyDescent="0.3">
      <c r="K41" s="3">
        <v>2</v>
      </c>
      <c r="L41" s="3">
        <v>2</v>
      </c>
      <c r="M41" s="3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mod-1mh1.pdb</vt:lpstr>
      <vt:lpstr>avo_methane.pdb</vt:lpstr>
      <vt:lpstr>tri_argon.pdb</vt:lpstr>
      <vt:lpstr>di_argon.pdb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Kemper</dc:creator>
  <cp:lastModifiedBy>David Kemper</cp:lastModifiedBy>
  <dcterms:created xsi:type="dcterms:W3CDTF">2026-02-07T23:02:15Z</dcterms:created>
  <dcterms:modified xsi:type="dcterms:W3CDTF">2026-03-25T19:32:16Z</dcterms:modified>
</cp:coreProperties>
</file>